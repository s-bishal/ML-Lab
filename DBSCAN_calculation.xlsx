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9F359BF-B51E-4BD9-924A-8812019C7D1A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DBSCA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F12" i="1"/>
  <c r="F13" i="1"/>
  <c r="F14" i="1"/>
  <c r="F15" i="1"/>
  <c r="F11" i="1"/>
  <c r="C19" i="1"/>
  <c r="C28" i="1"/>
  <c r="B19" i="1"/>
  <c r="A19" i="1"/>
  <c r="B32" i="1"/>
  <c r="D32" i="1" s="1"/>
  <c r="A32" i="1"/>
  <c r="B31" i="1"/>
  <c r="D31" i="1" s="1"/>
  <c r="A31" i="1"/>
  <c r="B30" i="1"/>
  <c r="D30" i="1" s="1"/>
  <c r="A30" i="1"/>
  <c r="B29" i="1"/>
  <c r="D29" i="1" s="1"/>
  <c r="A29" i="1"/>
  <c r="B28" i="1"/>
  <c r="D28" i="1" s="1"/>
  <c r="A28" i="1"/>
  <c r="F23" i="1"/>
  <c r="E23" i="1"/>
  <c r="D23" i="1"/>
  <c r="C23" i="1"/>
  <c r="B23" i="1"/>
  <c r="C32" i="1" s="1"/>
  <c r="A23" i="1"/>
  <c r="F22" i="1"/>
  <c r="E22" i="1"/>
  <c r="D22" i="1"/>
  <c r="C22" i="1"/>
  <c r="B22" i="1"/>
  <c r="C31" i="1" s="1"/>
  <c r="A22" i="1"/>
  <c r="F21" i="1"/>
  <c r="E21" i="1"/>
  <c r="D21" i="1"/>
  <c r="C21" i="1"/>
  <c r="B21" i="1"/>
  <c r="C30" i="1" s="1"/>
  <c r="A21" i="1"/>
  <c r="F20" i="1"/>
  <c r="E20" i="1"/>
  <c r="D20" i="1"/>
  <c r="C20" i="1"/>
  <c r="C29" i="1"/>
  <c r="A20" i="1"/>
  <c r="F19" i="1"/>
  <c r="E19" i="1"/>
  <c r="D19" i="1"/>
  <c r="F18" i="1"/>
  <c r="E18" i="1"/>
  <c r="D18" i="1"/>
  <c r="C18" i="1"/>
  <c r="B18" i="1"/>
  <c r="E32" i="1" l="1"/>
  <c r="F32" i="1" s="1"/>
  <c r="G32" i="1" s="1"/>
  <c r="E31" i="1"/>
  <c r="F31" i="1"/>
  <c r="G31" i="1" s="1"/>
  <c r="E30" i="1"/>
  <c r="F30" i="1" s="1"/>
  <c r="G30" i="1" s="1"/>
  <c r="E29" i="1"/>
  <c r="F29" i="1" s="1"/>
  <c r="G29" i="1" s="1"/>
  <c r="E28" i="1"/>
  <c r="F28" i="1" s="1"/>
  <c r="G28" i="1" s="1"/>
</calcChain>
</file>

<file path=xl/sharedStrings.xml><?xml version="1.0" encoding="utf-8"?>
<sst xmlns="http://schemas.openxmlformats.org/spreadsheetml/2006/main" count="30" uniqueCount="29">
  <si>
    <t>Parameters</t>
  </si>
  <si>
    <t>Epsilon (eps) - neighborhood radius</t>
  </si>
  <si>
    <t>MinPts</t>
  </si>
  <si>
    <t>Note: MinPts counts a point itself, so a point needs at least MinPts-1 OTHER points within eps to be a core point.</t>
  </si>
  <si>
    <t>Data Points</t>
  </si>
  <si>
    <t>Point ID</t>
  </si>
  <si>
    <t>X</t>
  </si>
  <si>
    <t>Y</t>
  </si>
  <si>
    <t>P1</t>
  </si>
  <si>
    <t>P2</t>
  </si>
  <si>
    <t>P3</t>
  </si>
  <si>
    <t>P4</t>
  </si>
  <si>
    <t>P5</t>
  </si>
  <si>
    <t>Euclidean Distance Matrix</t>
  </si>
  <si>
    <t>dist(i,j) = SQRT((Xi-Xj)^2 + (Yi-Yj)^2)</t>
  </si>
  <si>
    <t>Point</t>
  </si>
  <si>
    <t>Neighborhood Analysis &amp; Cluster Classification</t>
  </si>
  <si>
    <t>Neighbors within eps (excl. self)</t>
  </si>
  <si>
    <t>Neighbor list (&lt;=eps)</t>
  </si>
  <si>
    <t>Core Point?</t>
  </si>
  <si>
    <t>Border Point?</t>
  </si>
  <si>
    <t>Noise?</t>
  </si>
  <si>
    <t>Cluster</t>
  </si>
  <si>
    <t>Definitions:</t>
  </si>
  <si>
    <t>- Core point: has at least MinPts-1 OTHER points within eps distance.</t>
  </si>
  <si>
    <t>- Border point: not core itself, but lies within eps of a core point.</t>
  </si>
  <si>
    <t>- Noise point: neither core nor border (an outlier).</t>
  </si>
  <si>
    <t>- Two core points in each other's eps-neighborhood (or connected through a chain of core points) belong to the same cluster.</t>
  </si>
  <si>
    <t>DB 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</si>
</sst>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2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6666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0" fillId="3" borderId="0" xfId="0" applyFill="1"/>
    <xf numFmtId="0" fontId="1" fillId="0" borderId="0" xfId="0" applyFont="1"/>
    <xf numFmtId="0" fontId="5" fillId="0" borderId="0" xfId="0" applyFont="1"/>
    <xf numFmtId="0" fontId="3" fillId="4" borderId="1" xfId="0" applyFont="1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2" fillId="2" borderId="0" xfId="0" applyFont="1" applyFill="1"/>
    <xf numFmtId="0" fontId="5" fillId="2" borderId="0" xfId="0" applyFont="1" applyFill="1"/>
    <xf numFmtId="0" fontId="3" fillId="4" borderId="1" xfId="0" applyFont="1" applyFill="1" applyBorder="1"/>
    <xf numFmtId="164" fontId="0" fillId="2" borderId="1" xfId="0" applyNumberForma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5"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zoomScale="85" zoomScaleNormal="85" workbookViewId="0">
      <pane ySplit="1" topLeftCell="A2" activePane="bottomLeft" state="frozen"/>
      <selection pane="bottomLeft" activeCell="E9" sqref="E9"/>
    </sheetView>
  </sheetViews>
  <sheetFormatPr defaultColWidth="8.6640625" defaultRowHeight="14.25" x14ac:dyDescent="0.45"/>
  <cols>
    <col min="1" max="1" width="44.73046875" customWidth="1"/>
    <col min="2" max="6" width="12" customWidth="1"/>
    <col min="7" max="9" width="22" customWidth="1"/>
  </cols>
  <sheetData>
    <row r="1" spans="1:9" ht="17.649999999999999" x14ac:dyDescent="0.5">
      <c r="A1" s="5" t="s">
        <v>28</v>
      </c>
      <c r="B1" s="5"/>
      <c r="C1" s="5"/>
      <c r="D1" s="5"/>
      <c r="E1" s="5"/>
      <c r="F1" s="5"/>
    </row>
    <row r="3" spans="1:9" ht="15.4" x14ac:dyDescent="0.45">
      <c r="A3" s="1" t="s">
        <v>0</v>
      </c>
      <c r="B3" s="3"/>
    </row>
    <row r="4" spans="1:9" x14ac:dyDescent="0.45">
      <c r="A4" t="s">
        <v>1</v>
      </c>
      <c r="B4" s="4">
        <v>1.5</v>
      </c>
    </row>
    <row r="5" spans="1:9" x14ac:dyDescent="0.45">
      <c r="A5" t="s">
        <v>2</v>
      </c>
      <c r="B5" s="4">
        <v>2</v>
      </c>
    </row>
    <row r="6" spans="1:9" x14ac:dyDescent="0.45">
      <c r="A6" s="6" t="s">
        <v>3</v>
      </c>
      <c r="B6" s="6"/>
      <c r="C6" s="6"/>
      <c r="D6" s="6"/>
      <c r="E6" s="6"/>
      <c r="F6" s="6"/>
      <c r="G6" s="6"/>
      <c r="H6" s="6"/>
      <c r="I6" s="6"/>
    </row>
    <row r="8" spans="1:9" ht="15.4" x14ac:dyDescent="0.45">
      <c r="A8" s="1" t="s">
        <v>4</v>
      </c>
    </row>
    <row r="9" spans="1:9" x14ac:dyDescent="0.45">
      <c r="A9" s="7" t="s">
        <v>5</v>
      </c>
      <c r="B9" s="7" t="s">
        <v>6</v>
      </c>
      <c r="C9" s="7" t="s">
        <v>7</v>
      </c>
      <c r="D9" s="3"/>
      <c r="E9" s="3"/>
      <c r="F9" s="3"/>
      <c r="G9" s="3"/>
    </row>
    <row r="10" spans="1:9" x14ac:dyDescent="0.45">
      <c r="A10" s="8" t="s">
        <v>8</v>
      </c>
      <c r="B10" s="9">
        <v>1</v>
      </c>
      <c r="C10" s="9">
        <v>1</v>
      </c>
      <c r="D10" s="3"/>
      <c r="E10" s="3"/>
      <c r="F10" s="3"/>
      <c r="G10" s="3"/>
    </row>
    <row r="11" spans="1:9" x14ac:dyDescent="0.45">
      <c r="A11" s="8" t="s">
        <v>9</v>
      </c>
      <c r="B11" s="9">
        <v>5</v>
      </c>
      <c r="C11" s="9">
        <v>2</v>
      </c>
      <c r="D11" s="3"/>
      <c r="E11" s="3"/>
      <c r="F11" s="3">
        <f xml:space="preserve"> SQRT((B10-$B$10)^2-(C10-$C$10)^2)</f>
        <v>0</v>
      </c>
      <c r="G11" s="3"/>
    </row>
    <row r="12" spans="1:9" x14ac:dyDescent="0.45">
      <c r="A12" s="8" t="s">
        <v>10</v>
      </c>
      <c r="B12" s="9">
        <v>3</v>
      </c>
      <c r="C12" s="9">
        <v>2</v>
      </c>
      <c r="D12" s="3"/>
      <c r="E12" s="3"/>
      <c r="F12" s="3">
        <f xml:space="preserve"> SQRT((B11-$B$10)^2-(C11-$C$10)^2)</f>
        <v>3.872983346207417</v>
      </c>
      <c r="G12" s="3"/>
    </row>
    <row r="13" spans="1:9" x14ac:dyDescent="0.45">
      <c r="A13" s="8" t="s">
        <v>11</v>
      </c>
      <c r="B13" s="9">
        <v>3</v>
      </c>
      <c r="C13" s="9">
        <v>3</v>
      </c>
      <c r="D13" s="3"/>
      <c r="E13" s="3"/>
      <c r="F13" s="3">
        <f t="shared" ref="F13:F15" si="0" xml:space="preserve"> SQRT((B12-$B$10)^2-(C12-$C$10)^2)</f>
        <v>1.7320508075688772</v>
      </c>
      <c r="G13" s="3"/>
    </row>
    <row r="14" spans="1:9" x14ac:dyDescent="0.45">
      <c r="A14" s="8" t="s">
        <v>12</v>
      </c>
      <c r="B14" s="9">
        <v>2</v>
      </c>
      <c r="C14" s="9">
        <v>5</v>
      </c>
      <c r="D14" s="3"/>
      <c r="E14" s="3"/>
      <c r="F14" s="3">
        <f t="shared" si="0"/>
        <v>0</v>
      </c>
      <c r="G14" s="3"/>
    </row>
    <row r="15" spans="1:9" x14ac:dyDescent="0.45">
      <c r="A15" s="3"/>
      <c r="B15" s="3"/>
      <c r="C15" s="3"/>
      <c r="D15" s="3"/>
      <c r="E15" s="3"/>
      <c r="F15" s="3" t="e">
        <f t="shared" si="0"/>
        <v>#NUM!</v>
      </c>
      <c r="G15" s="3"/>
    </row>
    <row r="16" spans="1:9" ht="15.4" x14ac:dyDescent="0.45">
      <c r="A16" s="10" t="s">
        <v>13</v>
      </c>
      <c r="B16" s="3"/>
      <c r="C16" s="3"/>
      <c r="D16" s="3"/>
      <c r="E16" s="3"/>
      <c r="F16" s="3"/>
      <c r="G16" s="3"/>
    </row>
    <row r="17" spans="1:7" x14ac:dyDescent="0.45">
      <c r="A17" s="11" t="s">
        <v>14</v>
      </c>
      <c r="B17" s="3"/>
      <c r="C17" s="3"/>
      <c r="D17" s="3"/>
      <c r="E17" s="3"/>
      <c r="F17" s="3"/>
      <c r="G17" s="3"/>
    </row>
    <row r="18" spans="1:7" x14ac:dyDescent="0.45">
      <c r="A18" s="12" t="s">
        <v>15</v>
      </c>
      <c r="B18" s="7" t="str">
        <f>A10</f>
        <v>P1</v>
      </c>
      <c r="C18" s="7" t="str">
        <f>A11</f>
        <v>P2</v>
      </c>
      <c r="D18" s="7" t="str">
        <f>A12</f>
        <v>P3</v>
      </c>
      <c r="E18" s="7" t="str">
        <f>A13</f>
        <v>P4</v>
      </c>
      <c r="F18" s="7" t="str">
        <f>A14</f>
        <v>P5</v>
      </c>
      <c r="G18" s="3"/>
    </row>
    <row r="19" spans="1:7" x14ac:dyDescent="0.45">
      <c r="A19" s="12" t="str">
        <f>A10</f>
        <v>P1</v>
      </c>
      <c r="B19" s="13">
        <f>SQRT((B10-B10)^2+(C10-C10)^2)</f>
        <v>0</v>
      </c>
      <c r="C19" s="13">
        <f>SQRT((B10-B11)^2+(C10-C11)^2)</f>
        <v>4.1231056256176606</v>
      </c>
      <c r="D19" s="13">
        <f>SQRT((B10-B12)^2+(C10-C12)^2)</f>
        <v>2.2360679774997898</v>
      </c>
      <c r="E19" s="13">
        <f>SQRT((B10-B13)^2+(C10-C13)^2)</f>
        <v>2.8284271247461903</v>
      </c>
      <c r="F19" s="13">
        <f>SQRT((B10-B14)^2+(C10-C14)^2)</f>
        <v>4.1231056256176606</v>
      </c>
      <c r="G19" s="3"/>
    </row>
    <row r="20" spans="1:7" x14ac:dyDescent="0.45">
      <c r="A20" s="12" t="str">
        <f>A11</f>
        <v>P2</v>
      </c>
      <c r="B20" s="13">
        <f>SQRT((B11-B10)^2+(C11-C10)^2)</f>
        <v>4.1231056256176606</v>
      </c>
      <c r="C20" s="13">
        <f>SQRT((B11-B11)^2+(C11-C11)^2)</f>
        <v>0</v>
      </c>
      <c r="D20" s="13">
        <f>SQRT((B11-B12)^2+(C11-C12)^2)</f>
        <v>2</v>
      </c>
      <c r="E20" s="13">
        <f>SQRT((B11-B13)^2+(C11-C13)^2)</f>
        <v>2.2360679774997898</v>
      </c>
      <c r="F20" s="13">
        <f>SQRT((B11-B14)^2+(C11-C14)^2)</f>
        <v>4.2426406871192848</v>
      </c>
      <c r="G20" s="3"/>
    </row>
    <row r="21" spans="1:7" x14ac:dyDescent="0.45">
      <c r="A21" s="12" t="str">
        <f>A12</f>
        <v>P3</v>
      </c>
      <c r="B21" s="13">
        <f>SQRT((B12-B10)^2+(C12-C10)^2)</f>
        <v>2.2360679774997898</v>
      </c>
      <c r="C21" s="13">
        <f>SQRT((B12-B11)^2+(C12-C11)^2)</f>
        <v>2</v>
      </c>
      <c r="D21" s="13">
        <f>SQRT((B12-B12)^2+(C12-C12)^2)</f>
        <v>0</v>
      </c>
      <c r="E21" s="13">
        <f>SQRT((B12-B13)^2+(C12-C13)^2)</f>
        <v>1</v>
      </c>
      <c r="F21" s="13">
        <f>SQRT((B12-B14)^2+(C12-C14)^2)</f>
        <v>3.1622776601683795</v>
      </c>
      <c r="G21" s="3"/>
    </row>
    <row r="22" spans="1:7" x14ac:dyDescent="0.45">
      <c r="A22" s="12" t="str">
        <f>A13</f>
        <v>P4</v>
      </c>
      <c r="B22" s="13">
        <f>SQRT((B13-B10)^2+(C13-C10)^2)</f>
        <v>2.8284271247461903</v>
      </c>
      <c r="C22" s="13">
        <f>SQRT((B13-B11)^2+(C13-C11)^2)</f>
        <v>2.2360679774997898</v>
      </c>
      <c r="D22" s="13">
        <f>SQRT((B13-B12)^2+(C13-C12)^2)</f>
        <v>1</v>
      </c>
      <c r="E22" s="13">
        <f>SQRT((B13-B13)^2+(C13-C13)^2)</f>
        <v>0</v>
      </c>
      <c r="F22" s="13">
        <f>SQRT((B13-B14)^2+(C13-C14)^2)</f>
        <v>2.2360679774997898</v>
      </c>
      <c r="G22" s="3"/>
    </row>
    <row r="23" spans="1:7" x14ac:dyDescent="0.45">
      <c r="A23" s="12" t="str">
        <f>A14</f>
        <v>P5</v>
      </c>
      <c r="B23" s="13">
        <f>SQRT((B14-B10)^2+(C14-C10)^2)</f>
        <v>4.1231056256176606</v>
      </c>
      <c r="C23" s="13">
        <f>SQRT((B14-B11)^2+(C14-C11)^2)</f>
        <v>4.2426406871192848</v>
      </c>
      <c r="D23" s="13">
        <f>SQRT((B14-B12)^2+(C14-C12)^2)</f>
        <v>3.1622776601683795</v>
      </c>
      <c r="E23" s="13">
        <f>SQRT((B14-B13)^2+(C14-C13)^2)</f>
        <v>2.2360679774997898</v>
      </c>
      <c r="F23" s="13">
        <f>SQRT((B14-B14)^2+(C14-C14)^2)</f>
        <v>0</v>
      </c>
      <c r="G23" s="3"/>
    </row>
    <row r="24" spans="1:7" x14ac:dyDescent="0.45">
      <c r="A24" s="3"/>
      <c r="B24" s="3"/>
      <c r="C24" s="3"/>
      <c r="D24" s="3"/>
      <c r="E24" s="3"/>
      <c r="F24" s="3"/>
      <c r="G24" s="3"/>
    </row>
    <row r="25" spans="1:7" x14ac:dyDescent="0.45">
      <c r="A25" s="3"/>
      <c r="B25" s="3"/>
      <c r="C25" s="3"/>
      <c r="D25" s="3"/>
      <c r="E25" s="3"/>
      <c r="F25" s="3"/>
      <c r="G25" s="3"/>
    </row>
    <row r="26" spans="1:7" ht="15.4" x14ac:dyDescent="0.45">
      <c r="A26" s="10" t="s">
        <v>16</v>
      </c>
      <c r="B26" s="3"/>
      <c r="C26" s="3"/>
      <c r="D26" s="3"/>
      <c r="E26" s="3"/>
      <c r="F26" s="3"/>
      <c r="G26" s="3"/>
    </row>
    <row r="27" spans="1:7" ht="49.15" customHeight="1" x14ac:dyDescent="0.45">
      <c r="A27" s="14" t="s">
        <v>5</v>
      </c>
      <c r="B27" s="14" t="s">
        <v>17</v>
      </c>
      <c r="C27" s="14" t="s">
        <v>18</v>
      </c>
      <c r="D27" s="14" t="s">
        <v>19</v>
      </c>
      <c r="E27" s="14" t="s">
        <v>20</v>
      </c>
      <c r="F27" s="14" t="s">
        <v>21</v>
      </c>
      <c r="G27" s="14" t="s">
        <v>22</v>
      </c>
    </row>
    <row r="28" spans="1:7" x14ac:dyDescent="0.45">
      <c r="A28" s="8" t="str">
        <f>A10</f>
        <v>P1</v>
      </c>
      <c r="B28" s="15">
        <f>COUNTIFS(B19:F19,"&gt;0",B19:F19,"&lt;="&amp;$B$4)</f>
        <v>0</v>
      </c>
      <c r="C28" s="8" t="str">
        <f>IF(AND(B19&gt;0,B19&lt;=$B$4),$A$10&amp;", ","")&amp;IF(AND(C19&gt;0,C19&lt;=$B$4),$A$11&amp;", ","")&amp;IF(AND(D19&gt;0,D19&lt;=$B$4),$A$12&amp;", ","")&amp;IF(AND(E19&gt;0,E19&lt;=$B$4),$A$13&amp;", ","")&amp;IF(AND(F19&gt;0,F19&lt;=$B$4),$A$14&amp;", ","")</f>
        <v/>
      </c>
      <c r="D28" s="15" t="str">
        <f>IF(B28&gt;=$B$5-1,"Yes","No")</f>
        <v>No</v>
      </c>
      <c r="E28" s="15" t="str">
        <f>IF(D28="Yes","No",IF(OR(AND(B19&gt;0,B19&lt;=$B$4,$D$28="Yes"),AND(C19&gt;0,C19&lt;=$B$4,$D$29="Yes"),AND(D19&gt;0,D19&lt;=$B$4,$D$30="Yes"),AND(E19&gt;0,E19&lt;=$B$4,$D$31="Yes"),AND(F19&gt;0,F19&lt;=$B$4,$D$32="Yes")),"Yes","No"))</f>
        <v>No</v>
      </c>
      <c r="F28" s="15" t="str">
        <f>IF(AND(D28="No",E28="No"),"Yes","No")</f>
        <v>Yes</v>
      </c>
      <c r="G28" s="15" t="str">
        <f>IF(F28="Yes","Noise","Cluster 1")</f>
        <v>Noise</v>
      </c>
    </row>
    <row r="29" spans="1:7" x14ac:dyDescent="0.45">
      <c r="A29" s="8" t="str">
        <f>A11</f>
        <v>P2</v>
      </c>
      <c r="B29" s="15">
        <f>COUNTIFS(B20:F20,"&gt;0",B20:F20,"&lt;="&amp;$B$4)</f>
        <v>0</v>
      </c>
      <c r="C29" s="8" t="str">
        <f>IF(AND(B20&gt;0,B20&lt;=$B$4),$A$10&amp;", ","")&amp;IF(AND(C20&gt;0,C20&lt;=$B$4),$A$11&amp;", ","")&amp;IF(AND(D20&gt;0,D20&lt;=$B$4),$A$12&amp;", ","")&amp;IF(AND(E20&gt;0,E20&lt;=$B$4),$A$13&amp;", ","")&amp;IF(AND(F20&gt;0,F20&lt;=$B$4),$A$14&amp;", ","")</f>
        <v/>
      </c>
      <c r="D29" s="15" t="str">
        <f>IF(B29&gt;=$B$5-1,"Yes","No")</f>
        <v>No</v>
      </c>
      <c r="E29" s="15" t="str">
        <f>IF(D29="Yes","No",IF(OR(AND(B20&gt;0,B20&lt;=$B$4,$D$28="Yes"),AND(C20&gt;0,C20&lt;=$B$4,$D$29="Yes"),AND(D20&gt;0,D20&lt;=$B$4,$D$30="Yes"),AND(E20&gt;0,E20&lt;=$B$4,$D$31="Yes"),AND(F20&gt;0,F20&lt;=$B$4,$D$32="Yes")),"Yes","No"))</f>
        <v>No</v>
      </c>
      <c r="F29" s="15" t="str">
        <f>IF(AND(D29="No",E29="No"),"Yes","No")</f>
        <v>Yes</v>
      </c>
      <c r="G29" s="15" t="str">
        <f>IF(F29="Yes","Noise","Cluster 1")</f>
        <v>Noise</v>
      </c>
    </row>
    <row r="30" spans="1:7" x14ac:dyDescent="0.45">
      <c r="A30" s="8" t="str">
        <f>A12</f>
        <v>P3</v>
      </c>
      <c r="B30" s="15">
        <f>COUNTIFS(B21:F21,"&gt;0",B21:F21,"&lt;="&amp;$B$4)</f>
        <v>1</v>
      </c>
      <c r="C30" s="8" t="str">
        <f>IF(AND(B21&gt;0,B21&lt;=$B$4),$A$10&amp;", ","")&amp;IF(AND(C21&gt;0,C21&lt;=$B$4),$A$11&amp;", ","")&amp;IF(AND(D21&gt;0,D21&lt;=$B$4),$A$12&amp;", ","")&amp;IF(AND(E21&gt;0,E21&lt;=$B$4),$A$13&amp;", ","")&amp;IF(AND(F21&gt;0,F21&lt;=$B$4),$A$14&amp;", ","")</f>
        <v xml:space="preserve">P4, </v>
      </c>
      <c r="D30" s="15" t="str">
        <f>IF(B30&gt;=$B$5-1,"Yes","No")</f>
        <v>Yes</v>
      </c>
      <c r="E30" s="15" t="str">
        <f>IF(D30="Yes","No",IF(OR(AND(B21&gt;0,B21&lt;=$B$4,$D$28="Yes"),AND(C21&gt;0,C21&lt;=$B$4,$D$29="Yes"),AND(D21&gt;0,D21&lt;=$B$4,$D$30="Yes"),AND(E21&gt;0,E21&lt;=$B$4,$D$31="Yes"),AND(F21&gt;0,F21&lt;=$B$4,$D$32="Yes")),"Yes","No"))</f>
        <v>No</v>
      </c>
      <c r="F30" s="15" t="str">
        <f>IF(AND(D30="No",E30="No"),"Yes","No")</f>
        <v>No</v>
      </c>
      <c r="G30" s="15" t="str">
        <f>IF(F30="Yes","Noise","Cluster 1")</f>
        <v>Cluster 1</v>
      </c>
    </row>
    <row r="31" spans="1:7" x14ac:dyDescent="0.45">
      <c r="A31" s="8" t="str">
        <f>A13</f>
        <v>P4</v>
      </c>
      <c r="B31" s="15">
        <f>COUNTIFS(B22:F22,"&gt;0",B22:F22,"&lt;="&amp;$B$4)</f>
        <v>1</v>
      </c>
      <c r="C31" s="8" t="str">
        <f>IF(AND(B22&gt;0,B22&lt;=$B$4),$A$10&amp;", ","")&amp;IF(AND(C22&gt;0,C22&lt;=$B$4),$A$11&amp;", ","")&amp;IF(AND(D22&gt;0,D22&lt;=$B$4),$A$12&amp;", ","")&amp;IF(AND(E22&gt;0,E22&lt;=$B$4),$A$13&amp;", ","")&amp;IF(AND(F22&gt;0,F22&lt;=$B$4),$A$14&amp;", ","")</f>
        <v xml:space="preserve">P3, </v>
      </c>
      <c r="D31" s="15" t="str">
        <f>IF(B31&gt;=$B$5-1,"Yes","No")</f>
        <v>Yes</v>
      </c>
      <c r="E31" s="15" t="str">
        <f>IF(D31="Yes","No",IF(OR(AND(B22&gt;0,B22&lt;=$B$4,$D$28="Yes"),AND(C22&gt;0,C22&lt;=$B$4,$D$29="Yes"),AND(D22&gt;0,D22&lt;=$B$4,$D$30="Yes"),AND(E22&gt;0,E22&lt;=$B$4,$D$31="Yes"),AND(F22&gt;0,F22&lt;=$B$4,$D$32="Yes")),"Yes","No"))</f>
        <v>No</v>
      </c>
      <c r="F31" s="15" t="str">
        <f>IF(AND(D31="No",E31="No"),"Yes","No")</f>
        <v>No</v>
      </c>
      <c r="G31" s="15" t="str">
        <f>IF(F31="Yes","Noise","Cluster 1")</f>
        <v>Cluster 1</v>
      </c>
    </row>
    <row r="32" spans="1:7" x14ac:dyDescent="0.45">
      <c r="A32" s="8" t="str">
        <f>A14</f>
        <v>P5</v>
      </c>
      <c r="B32" s="15">
        <f>COUNTIFS(B23:F23,"&gt;0",B23:F23,"&lt;="&amp;$B$4)</f>
        <v>0</v>
      </c>
      <c r="C32" s="8" t="str">
        <f>IF(AND(B23&gt;0,B23&lt;=$B$4),$A$10&amp;", ","")&amp;IF(AND(C23&gt;0,C23&lt;=$B$4),$A$11&amp;", ","")&amp;IF(AND(D23&gt;0,D23&lt;=$B$4),$A$12&amp;", ","")&amp;IF(AND(E23&gt;0,E23&lt;=$B$4),$A$13&amp;", ","")&amp;IF(AND(F23&gt;0,F23&lt;=$B$4),$A$14&amp;", ","")</f>
        <v/>
      </c>
      <c r="D32" s="15" t="str">
        <f>IF(B32&gt;=$B$5-1,"Yes","No")</f>
        <v>No</v>
      </c>
      <c r="E32" s="15" t="str">
        <f>IF(D32="Yes","No",IF(OR(AND(B23&gt;0,B23&lt;=$B$4,$D$28="Yes"),AND(C23&gt;0,C23&lt;=$B$4,$D$29="Yes"),AND(D23&gt;0,D23&lt;=$B$4,$D$30="Yes"),AND(E23&gt;0,E23&lt;=$B$4,$D$31="Yes"),AND(F23&gt;0,F23&lt;=$B$4,$D$32="Yes")),"Yes","No"))</f>
        <v>No</v>
      </c>
      <c r="F32" s="15" t="str">
        <f>IF(AND(D32="No",E32="No"),"Yes","No")</f>
        <v>Yes</v>
      </c>
      <c r="G32" s="15" t="str">
        <f>IF(F32="Yes","Noise","Cluster 1")</f>
        <v>Noise</v>
      </c>
    </row>
    <row r="34" spans="1:7" x14ac:dyDescent="0.45">
      <c r="A34" s="2" t="s">
        <v>23</v>
      </c>
    </row>
    <row r="35" spans="1:7" x14ac:dyDescent="0.45">
      <c r="A35" s="6" t="s">
        <v>24</v>
      </c>
      <c r="B35" s="6"/>
      <c r="C35" s="6"/>
      <c r="D35" s="6"/>
      <c r="E35" s="6"/>
      <c r="F35" s="6"/>
      <c r="G35" s="6"/>
    </row>
    <row r="36" spans="1:7" x14ac:dyDescent="0.45">
      <c r="A36" s="6" t="s">
        <v>25</v>
      </c>
      <c r="B36" s="6"/>
      <c r="C36" s="6"/>
      <c r="D36" s="6"/>
      <c r="E36" s="6"/>
      <c r="F36" s="6"/>
      <c r="G36" s="6"/>
    </row>
    <row r="37" spans="1:7" x14ac:dyDescent="0.45">
      <c r="A37" s="6" t="s">
        <v>26</v>
      </c>
      <c r="B37" s="6"/>
      <c r="C37" s="6"/>
      <c r="D37" s="6"/>
      <c r="E37" s="6"/>
      <c r="F37" s="6"/>
      <c r="G37" s="6"/>
    </row>
    <row r="38" spans="1:7" x14ac:dyDescent="0.45">
      <c r="A38" s="6" t="s">
        <v>27</v>
      </c>
      <c r="B38" s="6"/>
      <c r="C38" s="6"/>
      <c r="D38" s="6"/>
      <c r="E38" s="6"/>
      <c r="F38" s="6"/>
      <c r="G38" s="6"/>
    </row>
  </sheetData>
  <mergeCells count="6">
    <mergeCell ref="A38:G38"/>
    <mergeCell ref="A1:F1"/>
    <mergeCell ref="A6:I6"/>
    <mergeCell ref="A35:G35"/>
    <mergeCell ref="A36:G36"/>
    <mergeCell ref="A37:G37"/>
  </mergeCells>
  <conditionalFormatting sqref="D28:D32">
    <cfRule type="expression" dxfId="4" priority="2">
      <formula>D28="Yes"</formula>
    </cfRule>
  </conditionalFormatting>
  <conditionalFormatting sqref="E28:E32">
    <cfRule type="expression" dxfId="3" priority="3">
      <formula>E28="Yes"</formula>
    </cfRule>
  </conditionalFormatting>
  <conditionalFormatting sqref="F28:F32">
    <cfRule type="expression" dxfId="2" priority="4">
      <formula>F28="Yes"</formula>
    </cfRule>
  </conditionalFormatting>
  <conditionalFormatting sqref="G28:G32">
    <cfRule type="expression" dxfId="1" priority="5">
      <formula>G28="Noise"</formula>
    </cfRule>
    <cfRule type="expression" dxfId="0" priority="6">
      <formula>G28="Cluster 1"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DBSCAN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Bishal Subedi</cp:lastModifiedBy>
  <cp:revision>0</cp:revision>
  <dcterms:created xsi:type="dcterms:W3CDTF">2026-07-23T04:04:07Z</dcterms:created>
  <dcterms:modified xsi:type="dcterms:W3CDTF">2026-08-08T08:35:03Z</dcterms:modified>
  <dc:language>en-US</dc:language>
</cp:coreProperties>
</file>